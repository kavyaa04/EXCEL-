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7CBED958-FEED-4722-80F7-4021E20D4630}" xr6:coauthVersionLast="47" xr6:coauthVersionMax="47" xr10:uidLastSave="{00000000-0000-0000-0000-000000000000}"/>
  <bookViews>
    <workbookView xWindow="-108" yWindow="-108" windowWidth="23256" windowHeight="12456" activeTab="1" xr2:uid="{86784054-9F79-412C-A715-9066B604FE96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2" i="3"/>
  <c r="G15" i="3" l="1"/>
  <c r="J15" i="3" s="1"/>
  <c r="G14" i="3"/>
  <c r="J14" i="3" s="1"/>
  <c r="G13" i="3"/>
  <c r="G12" i="3"/>
  <c r="J12" i="3" s="1"/>
  <c r="G11" i="3"/>
  <c r="J11" i="3" s="1"/>
  <c r="G10" i="3"/>
  <c r="J10" i="3" s="1"/>
  <c r="G9" i="3"/>
  <c r="J9" i="3" s="1"/>
  <c r="G8" i="3"/>
  <c r="J8" i="3" s="1"/>
  <c r="G7" i="3"/>
  <c r="G6" i="3"/>
  <c r="J6" i="3" s="1"/>
  <c r="G5" i="3"/>
  <c r="J5" i="3" s="1"/>
  <c r="G4" i="3"/>
  <c r="J4" i="3" s="1"/>
  <c r="G3" i="3"/>
  <c r="G2" i="3"/>
  <c r="J2" i="3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J3" i="3"/>
  <c r="J7" i="3"/>
  <c r="J13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<sst xmlns="http://schemas.openxmlformats.org/spreadsheetml/2006/main" count="78" uniqueCount="38">
  <si>
    <t>S. NO</t>
  </si>
  <si>
    <t>NAME</t>
  </si>
  <si>
    <t>PHONE</t>
  </si>
  <si>
    <t>EMAIL</t>
  </si>
  <si>
    <t>SALARY</t>
  </si>
  <si>
    <t>BONUS</t>
  </si>
  <si>
    <t>DOB</t>
  </si>
  <si>
    <t>DEPT</t>
  </si>
  <si>
    <t>TOTAL SAL</t>
  </si>
  <si>
    <t>AGE</t>
  </si>
  <si>
    <t>Cora Boyle</t>
  </si>
  <si>
    <t>Robin Moody</t>
  </si>
  <si>
    <t>Elaine Wiggins</t>
  </si>
  <si>
    <t>Azariah Meza</t>
  </si>
  <si>
    <t>Rosa Gillespie</t>
  </si>
  <si>
    <t>Forest Marin</t>
  </si>
  <si>
    <t>Celia Gomez</t>
  </si>
  <si>
    <t>Isaiah Kent</t>
  </si>
  <si>
    <t>Jazmine McCormick</t>
  </si>
  <si>
    <t>Jasiah Zamora</t>
  </si>
  <si>
    <t>COUNT</t>
  </si>
  <si>
    <t>cora boyle@gmail.com</t>
  </si>
  <si>
    <t>robin moody@gmail.com</t>
  </si>
  <si>
    <t>elaine wiggins@gmail.com</t>
  </si>
  <si>
    <t>azariah meza@gmail.com</t>
  </si>
  <si>
    <t>rosa gillespie@gmail.com</t>
  </si>
  <si>
    <t>forest marin@gmail.com</t>
  </si>
  <si>
    <t>celia gomez@gmail.com</t>
  </si>
  <si>
    <t>isaiah kent@gmail.com</t>
  </si>
  <si>
    <t>jazmine mccormick@gmail.com</t>
  </si>
  <si>
    <t>jasiah zamora@gmail.com</t>
  </si>
  <si>
    <t>cora boyle1@gmail.com</t>
  </si>
  <si>
    <t>robin moody1@gmail.com</t>
  </si>
  <si>
    <t>elaine wiggins1@gmail.com</t>
  </si>
  <si>
    <t>azariah meza1@gmail.com</t>
  </si>
  <si>
    <t>CSE</t>
  </si>
  <si>
    <t>IT</t>
  </si>
  <si>
    <t>CSBS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</si>
</sst>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&quot;₹&quot;\ #,##0.00"/>
    <numFmt numFmtId="173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1" applyFont="1"/>
    <xf numFmtId="9" fontId="0" fillId="0" borderId="0" xfId="1" applyNumberFormat="1" applyFont="1"/>
    <xf numFmtId="0" fontId="0" fillId="2" borderId="0" xfId="0" applyFill="1"/>
    <xf numFmtId="0" fontId="0" fillId="3" borderId="0" xfId="0" applyFill="1"/>
    <xf numFmtId="172" fontId="0" fillId="0" borderId="0" xfId="0" applyNumberFormat="1"/>
    <xf numFmtId="173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7B4D-491E-4E7D-937C-7840B6B4C6A8}">
  <dimension ref="A1:K15"/>
  <sheetViews>
    <sheetView zoomScaleNormal="100" workbookViewId="0">
      <selection activeCell="G2" sqref="G2:G15"/>
    </sheetView>
  </sheetViews>
  <sheetFormatPr defaultRowHeight="14.4" x14ac:dyDescent="0.3"/>
  <cols>
    <col min="2" max="2" width="18.21875" customWidth="1"/>
    <col min="3" max="3" width="19" customWidth="1"/>
    <col min="4" max="4" width="26.44140625" customWidth="1"/>
    <col min="5" max="5" width="15.109375" customWidth="1"/>
    <col min="6" max="6" width="27.5546875" customWidth="1"/>
    <col min="7" max="7" width="13.77734375" customWidth="1"/>
    <col min="8" max="8" width="18.33203125" customWidth="1"/>
    <col min="9" max="9" width="16.109375" customWidth="1"/>
    <col min="10" max="10" width="11.33203125" customWidth="1"/>
    <col min="11" max="11" width="14.886718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t="s">
        <v>20</v>
      </c>
    </row>
    <row r="2" spans="1:11" x14ac:dyDescent="0.3">
      <c r="A2">
        <v>1</v>
      </c>
      <c r="B2" t="s">
        <v>10</v>
      </c>
      <c r="C2">
        <f ca="1">RANDBETWEEN(8889998989,9966333221)</f>
        <v>9721108807</v>
      </c>
      <c r="D2" t="str">
        <f>IF(K2=0,LOWER(B2)&amp;"@gmail.com", LOWER(B2)&amp;K2&amp;"@gmail.com")</f>
        <v>cora boyle@gmail.com</v>
      </c>
      <c r="E2" s="6">
        <f ca="1">RANDBETWEEN(55000,450000)</f>
        <v>160084</v>
      </c>
      <c r="F2" s="2">
        <v>0.17</v>
      </c>
      <c r="G2" s="7">
        <f ca="1">RANDBETWEEN(DATE(1994,1,1),DATE(2004,12,31))</f>
        <v>34782</v>
      </c>
      <c r="K2">
        <f>COUNTIF(B$2:B2,B2)-1</f>
        <v>0</v>
      </c>
    </row>
    <row r="3" spans="1:11" x14ac:dyDescent="0.3">
      <c r="A3">
        <v>2</v>
      </c>
      <c r="B3" t="s">
        <v>11</v>
      </c>
      <c r="C3">
        <f t="shared" ref="C3:C15" ca="1" si="0">RANDBETWEEN(8889998989,9966333221)</f>
        <v>9190500307</v>
      </c>
      <c r="D3" t="str">
        <f t="shared" ref="D3:D15" si="1">IF(K3=0,LOWER(B3)&amp;"@gmail.com", LOWER(B3)&amp;K3&amp;"@gmail.com")</f>
        <v>robin moody@gmail.com</v>
      </c>
      <c r="E3" s="6">
        <f t="shared" ref="E3:E15" ca="1" si="2">RANDBETWEEN(55000,450000)</f>
        <v>214162</v>
      </c>
      <c r="F3" s="2">
        <v>0.28000000000000003</v>
      </c>
      <c r="G3" s="7">
        <f t="shared" ref="G3:G15" ca="1" si="3">RANDBETWEEN(DATE(1994,1,1),DATE(2004,12,31))</f>
        <v>36176</v>
      </c>
      <c r="K3">
        <f>COUNTIF(B$2:B3,B3)-1</f>
        <v>0</v>
      </c>
    </row>
    <row r="4" spans="1:11" x14ac:dyDescent="0.3">
      <c r="A4">
        <v>3</v>
      </c>
      <c r="B4" t="s">
        <v>12</v>
      </c>
      <c r="C4">
        <f t="shared" ca="1" si="0"/>
        <v>9420917052</v>
      </c>
      <c r="D4" t="str">
        <f t="shared" si="1"/>
        <v>elaine wiggins@gmail.com</v>
      </c>
      <c r="E4" s="6">
        <f t="shared" ca="1" si="2"/>
        <v>333515</v>
      </c>
      <c r="F4" s="2">
        <v>0.41</v>
      </c>
      <c r="G4" s="7">
        <f t="shared" ca="1" si="3"/>
        <v>37033</v>
      </c>
      <c r="K4">
        <f>COUNTIF(B$2:B4,B4)-1</f>
        <v>0</v>
      </c>
    </row>
    <row r="5" spans="1:11" x14ac:dyDescent="0.3">
      <c r="A5">
        <v>4</v>
      </c>
      <c r="B5" t="s">
        <v>13</v>
      </c>
      <c r="C5">
        <f t="shared" ca="1" si="0"/>
        <v>9258816507</v>
      </c>
      <c r="D5" t="str">
        <f t="shared" si="1"/>
        <v>azariah meza@gmail.com</v>
      </c>
      <c r="E5" s="6">
        <f t="shared" ca="1" si="2"/>
        <v>100845</v>
      </c>
      <c r="F5" s="2">
        <v>0.26</v>
      </c>
      <c r="G5" s="7">
        <f t="shared" ca="1" si="3"/>
        <v>36855</v>
      </c>
      <c r="K5">
        <f>COUNTIF(B$2:B5,B5)-1</f>
        <v>0</v>
      </c>
    </row>
    <row r="6" spans="1:11" x14ac:dyDescent="0.3">
      <c r="A6">
        <v>5</v>
      </c>
      <c r="B6" t="s">
        <v>14</v>
      </c>
      <c r="C6">
        <f t="shared" ca="1" si="0"/>
        <v>9792856333</v>
      </c>
      <c r="D6" t="str">
        <f t="shared" si="1"/>
        <v>rosa gillespie@gmail.com</v>
      </c>
      <c r="E6" s="6">
        <f t="shared" ca="1" si="2"/>
        <v>140037</v>
      </c>
      <c r="F6" s="2">
        <v>0.18</v>
      </c>
      <c r="G6" s="7">
        <f t="shared" ca="1" si="3"/>
        <v>36318</v>
      </c>
      <c r="K6">
        <f>COUNTIF(B$2:B6,B6)-1</f>
        <v>0</v>
      </c>
    </row>
    <row r="7" spans="1:11" x14ac:dyDescent="0.3">
      <c r="A7">
        <v>6</v>
      </c>
      <c r="B7" t="s">
        <v>15</v>
      </c>
      <c r="C7">
        <f t="shared" ca="1" si="0"/>
        <v>9912609743</v>
      </c>
      <c r="D7" t="str">
        <f t="shared" si="1"/>
        <v>forest marin@gmail.com</v>
      </c>
      <c r="E7" s="6">
        <f t="shared" ca="1" si="2"/>
        <v>99379</v>
      </c>
      <c r="F7" s="2">
        <v>0.46</v>
      </c>
      <c r="G7" s="7">
        <f t="shared" ca="1" si="3"/>
        <v>37060</v>
      </c>
      <c r="K7">
        <f>COUNTIF(B$2:B7,B7)-1</f>
        <v>0</v>
      </c>
    </row>
    <row r="8" spans="1:11" x14ac:dyDescent="0.3">
      <c r="A8">
        <v>7</v>
      </c>
      <c r="B8" t="s">
        <v>16</v>
      </c>
      <c r="C8">
        <f t="shared" ca="1" si="0"/>
        <v>9512137863</v>
      </c>
      <c r="D8" t="str">
        <f t="shared" si="1"/>
        <v>celia gomez@gmail.com</v>
      </c>
      <c r="E8" s="6">
        <f t="shared" ca="1" si="2"/>
        <v>151682</v>
      </c>
      <c r="F8" s="2">
        <v>0.1</v>
      </c>
      <c r="G8" s="7">
        <f t="shared" ca="1" si="3"/>
        <v>37332</v>
      </c>
      <c r="K8">
        <f>COUNTIF(B$2:B8,B8)-1</f>
        <v>0</v>
      </c>
    </row>
    <row r="9" spans="1:11" x14ac:dyDescent="0.3">
      <c r="A9">
        <v>8</v>
      </c>
      <c r="B9" t="s">
        <v>17</v>
      </c>
      <c r="C9">
        <f t="shared" ca="1" si="0"/>
        <v>9643454852</v>
      </c>
      <c r="D9" t="str">
        <f t="shared" si="1"/>
        <v>isaiah kent@gmail.com</v>
      </c>
      <c r="E9" s="6">
        <f t="shared" ca="1" si="2"/>
        <v>237578</v>
      </c>
      <c r="F9" s="2">
        <v>0.38</v>
      </c>
      <c r="G9" s="7">
        <f t="shared" ca="1" si="3"/>
        <v>37302</v>
      </c>
      <c r="K9">
        <f>COUNTIF(B$2:B9,B9)-1</f>
        <v>0</v>
      </c>
    </row>
    <row r="10" spans="1:11" x14ac:dyDescent="0.3">
      <c r="A10">
        <v>9</v>
      </c>
      <c r="B10" t="s">
        <v>18</v>
      </c>
      <c r="C10">
        <f t="shared" ca="1" si="0"/>
        <v>9715416976</v>
      </c>
      <c r="D10" t="str">
        <f t="shared" si="1"/>
        <v>jazmine mccormick@gmail.com</v>
      </c>
      <c r="E10" s="6">
        <f t="shared" ca="1" si="2"/>
        <v>102993</v>
      </c>
      <c r="F10" s="2">
        <v>0.06</v>
      </c>
      <c r="G10" s="7">
        <f t="shared" ca="1" si="3"/>
        <v>36791</v>
      </c>
      <c r="K10">
        <f>COUNTIF(B$2:B10,B10)-1</f>
        <v>0</v>
      </c>
    </row>
    <row r="11" spans="1:11" x14ac:dyDescent="0.3">
      <c r="A11">
        <v>10</v>
      </c>
      <c r="B11" t="s">
        <v>19</v>
      </c>
      <c r="C11">
        <f t="shared" ca="1" si="0"/>
        <v>9383269994</v>
      </c>
      <c r="D11" t="str">
        <f t="shared" si="1"/>
        <v>jasiah zamora@gmail.com</v>
      </c>
      <c r="E11" s="6">
        <f t="shared" ca="1" si="2"/>
        <v>274425</v>
      </c>
      <c r="F11" s="2">
        <v>0.15</v>
      </c>
      <c r="G11" s="7">
        <f t="shared" ca="1" si="3"/>
        <v>36325</v>
      </c>
      <c r="K11">
        <f>COUNTIF(B$2:B11,B11)-1</f>
        <v>0</v>
      </c>
    </row>
    <row r="12" spans="1:11" x14ac:dyDescent="0.3">
      <c r="A12">
        <v>11</v>
      </c>
      <c r="B12" t="s">
        <v>10</v>
      </c>
      <c r="C12">
        <f t="shared" ca="1" si="0"/>
        <v>9507672763</v>
      </c>
      <c r="D12" t="str">
        <f t="shared" si="1"/>
        <v>cora boyle1@gmail.com</v>
      </c>
      <c r="E12" s="6">
        <f t="shared" ca="1" si="2"/>
        <v>432473</v>
      </c>
      <c r="F12" s="2">
        <v>0.17599999999999999</v>
      </c>
      <c r="G12" s="7">
        <f t="shared" ca="1" si="3"/>
        <v>38033</v>
      </c>
      <c r="K12">
        <f>COUNTIF(B$2:B12,B12)-1</f>
        <v>1</v>
      </c>
    </row>
    <row r="13" spans="1:11" x14ac:dyDescent="0.3">
      <c r="A13">
        <v>12</v>
      </c>
      <c r="B13" t="s">
        <v>11</v>
      </c>
      <c r="C13">
        <f t="shared" ca="1" si="0"/>
        <v>8911389191</v>
      </c>
      <c r="D13" t="str">
        <f t="shared" si="1"/>
        <v>robin moody1@gmail.com</v>
      </c>
      <c r="E13" s="6">
        <f t="shared" ca="1" si="2"/>
        <v>326465</v>
      </c>
      <c r="F13" s="2">
        <v>0.16345454545454499</v>
      </c>
      <c r="G13" s="7">
        <f t="shared" ca="1" si="3"/>
        <v>36660</v>
      </c>
      <c r="K13">
        <f>COUNTIF(B$2:B13,B13)-1</f>
        <v>1</v>
      </c>
    </row>
    <row r="14" spans="1:11" x14ac:dyDescent="0.3">
      <c r="A14">
        <v>13</v>
      </c>
      <c r="B14" t="s">
        <v>12</v>
      </c>
      <c r="C14">
        <f t="shared" ca="1" si="0"/>
        <v>9160313347</v>
      </c>
      <c r="D14" t="str">
        <f t="shared" si="1"/>
        <v>elaine wiggins1@gmail.com</v>
      </c>
      <c r="E14" s="6">
        <f t="shared" ca="1" si="2"/>
        <v>294128</v>
      </c>
      <c r="F14" s="2">
        <v>0.15090909090908999</v>
      </c>
      <c r="G14" s="7">
        <f t="shared" ca="1" si="3"/>
        <v>35255</v>
      </c>
      <c r="K14">
        <f>COUNTIF(B$2:B14,B14)-1</f>
        <v>1</v>
      </c>
    </row>
    <row r="15" spans="1:11" x14ac:dyDescent="0.3">
      <c r="A15">
        <v>14</v>
      </c>
      <c r="B15" t="s">
        <v>13</v>
      </c>
      <c r="C15">
        <f t="shared" ca="1" si="0"/>
        <v>9324387098</v>
      </c>
      <c r="D15" t="str">
        <f t="shared" si="1"/>
        <v>azariah meza1@gmail.com</v>
      </c>
      <c r="E15" s="6">
        <f t="shared" ca="1" si="2"/>
        <v>392630</v>
      </c>
      <c r="F15" s="2">
        <v>0.13836363636363599</v>
      </c>
      <c r="G15" s="7">
        <f t="shared" ca="1" si="3"/>
        <v>35882</v>
      </c>
      <c r="K15">
        <f>COUNTIF(B$2:B15,B15)-1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6929-5077-4051-9BE5-BC7BD15DFFA8}">
  <dimension ref="A1:K16"/>
  <sheetViews>
    <sheetView tabSelected="1" workbookViewId="0">
      <selection activeCell="I18" sqref="I18"/>
    </sheetView>
  </sheetViews>
  <sheetFormatPr defaultRowHeight="14.4" x14ac:dyDescent="0.3"/>
  <cols>
    <col min="1" max="1" width="10.21875" customWidth="1"/>
    <col min="2" max="2" width="12.88671875" customWidth="1"/>
    <col min="3" max="3" width="15.77734375" customWidth="1"/>
    <col min="4" max="4" width="29.6640625" customWidth="1"/>
    <col min="5" max="5" width="16.109375" customWidth="1"/>
    <col min="6" max="6" width="16.5546875" customWidth="1"/>
    <col min="7" max="7" width="15.88671875" customWidth="1"/>
    <col min="8" max="8" width="12.109375" customWidth="1"/>
    <col min="9" max="9" width="19.77734375" customWidth="1"/>
    <col min="10" max="10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</row>
    <row r="2" spans="1:11" x14ac:dyDescent="0.3">
      <c r="A2">
        <v>1</v>
      </c>
      <c r="B2" t="s">
        <v>10</v>
      </c>
      <c r="C2">
        <v>9656388973</v>
      </c>
      <c r="D2" t="s">
        <v>21</v>
      </c>
      <c r="E2" s="5">
        <v>355466</v>
      </c>
      <c r="F2" s="1">
        <v>0.17</v>
      </c>
      <c r="G2" s="7">
        <f ca="1">RANDBETWEEN(DATE(1994,1,1),DATE(2004,12,31))</f>
        <v>35243</v>
      </c>
      <c r="H2" t="s">
        <v>35</v>
      </c>
      <c r="I2" s="5">
        <f>E2*F2+E2</f>
        <v>415895.22</v>
      </c>
      <c r="J2" s="8">
        <f ca="1">DATEDIF(G2, TODAY(), "Y")</f>
        <v>29</v>
      </c>
      <c r="K2">
        <v>0</v>
      </c>
    </row>
    <row r="3" spans="1:11" x14ac:dyDescent="0.3">
      <c r="A3">
        <v>2</v>
      </c>
      <c r="B3" t="s">
        <v>11</v>
      </c>
      <c r="C3">
        <v>9030979838</v>
      </c>
      <c r="D3" t="s">
        <v>22</v>
      </c>
      <c r="E3" s="5">
        <v>288836</v>
      </c>
      <c r="F3" s="1">
        <v>0.28000000000000003</v>
      </c>
      <c r="G3" s="7">
        <f t="shared" ref="G3:G15" ca="1" si="0">RANDBETWEEN(DATE(1994,1,1),DATE(2004,12,31))</f>
        <v>37666</v>
      </c>
      <c r="H3" t="s">
        <v>36</v>
      </c>
      <c r="I3" s="5">
        <f t="shared" ref="I3:I15" si="1">E3*F3+E3</f>
        <v>369710.08000000002</v>
      </c>
      <c r="J3" s="8">
        <f t="shared" ref="J3:J15" ca="1" si="2">DATEDIF(G3, TODAY(), "Y")</f>
        <v>22</v>
      </c>
      <c r="K3">
        <v>0</v>
      </c>
    </row>
    <row r="4" spans="1:11" x14ac:dyDescent="0.3">
      <c r="A4">
        <v>3</v>
      </c>
      <c r="B4" t="s">
        <v>12</v>
      </c>
      <c r="C4">
        <v>9757271313</v>
      </c>
      <c r="D4" t="s">
        <v>23</v>
      </c>
      <c r="E4" s="5">
        <v>422406</v>
      </c>
      <c r="F4" s="1">
        <v>0.41</v>
      </c>
      <c r="G4" s="7">
        <f t="shared" ca="1" si="0"/>
        <v>35615</v>
      </c>
      <c r="H4" t="s">
        <v>37</v>
      </c>
      <c r="I4" s="5">
        <f t="shared" si="1"/>
        <v>595592.46</v>
      </c>
      <c r="J4" s="8">
        <f t="shared" ca="1" si="2"/>
        <v>28</v>
      </c>
      <c r="K4">
        <v>0</v>
      </c>
    </row>
    <row r="5" spans="1:11" x14ac:dyDescent="0.3">
      <c r="A5">
        <v>4</v>
      </c>
      <c r="B5" t="s">
        <v>13</v>
      </c>
      <c r="C5">
        <v>9543839947</v>
      </c>
      <c r="D5" t="s">
        <v>24</v>
      </c>
      <c r="E5" s="5">
        <v>394387</v>
      </c>
      <c r="F5" s="1">
        <v>0.26</v>
      </c>
      <c r="G5" s="7">
        <f t="shared" ca="1" si="0"/>
        <v>36280</v>
      </c>
      <c r="H5" t="s">
        <v>35</v>
      </c>
      <c r="I5" s="5">
        <f t="shared" si="1"/>
        <v>496927.62</v>
      </c>
      <c r="J5" s="8">
        <f t="shared" ca="1" si="2"/>
        <v>26</v>
      </c>
      <c r="K5">
        <v>0</v>
      </c>
    </row>
    <row r="6" spans="1:11" x14ac:dyDescent="0.3">
      <c r="A6">
        <v>5</v>
      </c>
      <c r="B6" t="s">
        <v>14</v>
      </c>
      <c r="C6">
        <v>9163734366</v>
      </c>
      <c r="D6" t="s">
        <v>25</v>
      </c>
      <c r="E6" s="5">
        <v>157151</v>
      </c>
      <c r="F6" s="1">
        <v>0.18</v>
      </c>
      <c r="G6" s="7">
        <f t="shared" ca="1" si="0"/>
        <v>35785</v>
      </c>
      <c r="H6" t="s">
        <v>36</v>
      </c>
      <c r="I6" s="5">
        <f t="shared" si="1"/>
        <v>185438.18</v>
      </c>
      <c r="J6" s="8">
        <f t="shared" ca="1" si="2"/>
        <v>27</v>
      </c>
      <c r="K6">
        <v>0</v>
      </c>
    </row>
    <row r="7" spans="1:11" x14ac:dyDescent="0.3">
      <c r="A7">
        <v>6</v>
      </c>
      <c r="B7" t="s">
        <v>15</v>
      </c>
      <c r="C7">
        <v>9536728486</v>
      </c>
      <c r="D7" t="s">
        <v>26</v>
      </c>
      <c r="E7" s="5">
        <v>176708</v>
      </c>
      <c r="F7" s="1">
        <v>0.46</v>
      </c>
      <c r="G7" s="7">
        <f t="shared" ca="1" si="0"/>
        <v>36016</v>
      </c>
      <c r="H7" t="s">
        <v>37</v>
      </c>
      <c r="I7" s="5">
        <f t="shared" si="1"/>
        <v>257993.68</v>
      </c>
      <c r="J7" s="8">
        <f t="shared" ca="1" si="2"/>
        <v>27</v>
      </c>
      <c r="K7">
        <v>0</v>
      </c>
    </row>
    <row r="8" spans="1:11" x14ac:dyDescent="0.3">
      <c r="A8">
        <v>7</v>
      </c>
      <c r="B8" t="s">
        <v>16</v>
      </c>
      <c r="C8">
        <v>9756841443</v>
      </c>
      <c r="D8" t="s">
        <v>27</v>
      </c>
      <c r="E8" s="5">
        <v>168826</v>
      </c>
      <c r="F8" s="1">
        <v>0.1</v>
      </c>
      <c r="G8" s="7">
        <f t="shared" ca="1" si="0"/>
        <v>37527</v>
      </c>
      <c r="H8" t="s">
        <v>35</v>
      </c>
      <c r="I8" s="5">
        <f t="shared" si="1"/>
        <v>185708.6</v>
      </c>
      <c r="J8" s="8">
        <f t="shared" ca="1" si="2"/>
        <v>23</v>
      </c>
      <c r="K8">
        <v>0</v>
      </c>
    </row>
    <row r="9" spans="1:11" x14ac:dyDescent="0.3">
      <c r="A9">
        <v>8</v>
      </c>
      <c r="B9" t="s">
        <v>17</v>
      </c>
      <c r="C9">
        <v>9635402677</v>
      </c>
      <c r="D9" t="s">
        <v>28</v>
      </c>
      <c r="E9" s="5">
        <v>260875</v>
      </c>
      <c r="F9" s="1">
        <v>0.38</v>
      </c>
      <c r="G9" s="7">
        <f t="shared" ca="1" si="0"/>
        <v>37387</v>
      </c>
      <c r="H9" t="s">
        <v>36</v>
      </c>
      <c r="I9" s="5">
        <f t="shared" si="1"/>
        <v>360007.5</v>
      </c>
      <c r="J9" s="8">
        <f t="shared" ca="1" si="2"/>
        <v>23</v>
      </c>
      <c r="K9">
        <v>0</v>
      </c>
    </row>
    <row r="10" spans="1:11" x14ac:dyDescent="0.3">
      <c r="A10">
        <v>9</v>
      </c>
      <c r="B10" t="s">
        <v>18</v>
      </c>
      <c r="C10">
        <v>9869303137</v>
      </c>
      <c r="D10" t="s">
        <v>29</v>
      </c>
      <c r="E10" s="5">
        <v>98838</v>
      </c>
      <c r="F10" s="1">
        <v>0.06</v>
      </c>
      <c r="G10" s="7">
        <f t="shared" ca="1" si="0"/>
        <v>35750</v>
      </c>
      <c r="H10" t="s">
        <v>37</v>
      </c>
      <c r="I10" s="5">
        <f t="shared" si="1"/>
        <v>104768.28</v>
      </c>
      <c r="J10" s="8">
        <f t="shared" ca="1" si="2"/>
        <v>28</v>
      </c>
      <c r="K10">
        <v>0</v>
      </c>
    </row>
    <row r="11" spans="1:11" x14ac:dyDescent="0.3">
      <c r="A11">
        <v>10</v>
      </c>
      <c r="B11" t="s">
        <v>19</v>
      </c>
      <c r="C11">
        <v>9074995960</v>
      </c>
      <c r="D11" t="s">
        <v>30</v>
      </c>
      <c r="E11" s="5">
        <v>61900</v>
      </c>
      <c r="F11" s="1">
        <v>0.15</v>
      </c>
      <c r="G11" s="7">
        <f t="shared" ca="1" si="0"/>
        <v>35744</v>
      </c>
      <c r="H11" t="s">
        <v>35</v>
      </c>
      <c r="I11" s="5">
        <f t="shared" si="1"/>
        <v>71185</v>
      </c>
      <c r="J11" s="8">
        <f t="shared" ca="1" si="2"/>
        <v>28</v>
      </c>
      <c r="K11">
        <v>0</v>
      </c>
    </row>
    <row r="12" spans="1:11" x14ac:dyDescent="0.3">
      <c r="A12">
        <v>11</v>
      </c>
      <c r="B12" t="s">
        <v>10</v>
      </c>
      <c r="C12">
        <v>9021976186</v>
      </c>
      <c r="D12" t="s">
        <v>31</v>
      </c>
      <c r="E12" s="5">
        <v>331134</v>
      </c>
      <c r="F12" s="1">
        <v>0.17599999999999999</v>
      </c>
      <c r="G12" s="7">
        <f t="shared" ca="1" si="0"/>
        <v>37224</v>
      </c>
      <c r="H12" t="s">
        <v>36</v>
      </c>
      <c r="I12" s="5">
        <f t="shared" si="1"/>
        <v>389413.58399999997</v>
      </c>
      <c r="J12" s="8">
        <f t="shared" ca="1" si="2"/>
        <v>23</v>
      </c>
      <c r="K12">
        <v>1</v>
      </c>
    </row>
    <row r="13" spans="1:11" x14ac:dyDescent="0.3">
      <c r="A13">
        <v>12</v>
      </c>
      <c r="B13" t="s">
        <v>11</v>
      </c>
      <c r="C13">
        <v>9065929342</v>
      </c>
      <c r="D13" t="s">
        <v>32</v>
      </c>
      <c r="E13" s="5">
        <v>347734</v>
      </c>
      <c r="F13" s="1">
        <v>0.16345454545454499</v>
      </c>
      <c r="G13" s="7">
        <f t="shared" ca="1" si="0"/>
        <v>35760</v>
      </c>
      <c r="H13" t="s">
        <v>37</v>
      </c>
      <c r="I13" s="5">
        <f t="shared" si="1"/>
        <v>404572.70290909073</v>
      </c>
      <c r="J13" s="8">
        <f t="shared" ca="1" si="2"/>
        <v>27</v>
      </c>
      <c r="K13">
        <v>1</v>
      </c>
    </row>
    <row r="14" spans="1:11" x14ac:dyDescent="0.3">
      <c r="A14">
        <v>13</v>
      </c>
      <c r="B14" t="s">
        <v>12</v>
      </c>
      <c r="C14">
        <v>9880010013</v>
      </c>
      <c r="D14" t="s">
        <v>33</v>
      </c>
      <c r="E14" s="5">
        <v>155546</v>
      </c>
      <c r="F14" s="1">
        <v>0.15090909090908999</v>
      </c>
      <c r="G14" s="7">
        <f t="shared" ca="1" si="0"/>
        <v>36925</v>
      </c>
      <c r="H14" t="s">
        <v>35</v>
      </c>
      <c r="I14" s="5">
        <f t="shared" si="1"/>
        <v>179019.30545454531</v>
      </c>
      <c r="J14" s="8">
        <f t="shared" ca="1" si="2"/>
        <v>24</v>
      </c>
      <c r="K14">
        <v>1</v>
      </c>
    </row>
    <row r="15" spans="1:11" x14ac:dyDescent="0.3">
      <c r="A15">
        <v>14</v>
      </c>
      <c r="B15" t="s">
        <v>13</v>
      </c>
      <c r="C15">
        <v>9503838296</v>
      </c>
      <c r="D15" t="s">
        <v>34</v>
      </c>
      <c r="E15" s="5">
        <v>168327</v>
      </c>
      <c r="F15" s="1">
        <v>0.13836363636363599</v>
      </c>
      <c r="G15" s="7">
        <f t="shared" ca="1" si="0"/>
        <v>34952</v>
      </c>
      <c r="H15" t="s">
        <v>36</v>
      </c>
      <c r="I15" s="5">
        <f t="shared" si="1"/>
        <v>191617.33581818175</v>
      </c>
      <c r="J15" s="8">
        <f t="shared" ca="1" si="2"/>
        <v>30</v>
      </c>
      <c r="K15">
        <v>1</v>
      </c>
    </row>
    <row r="16" spans="1:11" x14ac:dyDescent="0.3">
      <c r="E16" s="5"/>
      <c r="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Kavyaa AK</dc:creator>
  <cp:lastModifiedBy>Kavyaa AK</cp:lastModifiedBy>
  <dcterms:created xsi:type="dcterms:W3CDTF">2025-11-21T07:27:01Z</dcterms:created>
  <dcterms:modified xsi:type="dcterms:W3CDTF">2025-11-22T22:13:59Z</dcterms:modified>
</cp:coreProperties>
</file>